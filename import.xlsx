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kty\rejestr-prac\"/>
    </mc:Choice>
  </mc:AlternateContent>
  <xr:revisionPtr revIDLastSave="0" documentId="13_ncr:1_{2ABCAC67-C183-469E-BF23-BBD11F46A76F}" xr6:coauthVersionLast="47" xr6:coauthVersionMax="47" xr10:uidLastSave="{00000000-0000-0000-0000-000000000000}"/>
  <bookViews>
    <workbookView xWindow="38640" yWindow="3585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" i="1" l="1"/>
  <c r="N11" i="1"/>
  <c r="N10" i="1"/>
  <c r="R10" i="1" s="1"/>
  <c r="N9" i="1"/>
  <c r="R9" i="1" s="1"/>
  <c r="R8" i="1"/>
  <c r="R7" i="1"/>
  <c r="O27" i="1"/>
  <c r="P27" i="1"/>
  <c r="Q27" i="1"/>
  <c r="N27" i="1" l="1"/>
  <c r="R27" i="1"/>
</calcChain>
</file>

<file path=xl/sharedStrings.xml><?xml version="1.0" encoding="utf-8"?>
<sst xmlns="http://schemas.openxmlformats.org/spreadsheetml/2006/main" count="50" uniqueCount="36">
  <si>
    <t>Telefon</t>
  </si>
  <si>
    <t>Miejscowość</t>
  </si>
  <si>
    <t>Głębokość studni</t>
  </si>
  <si>
    <t>Średnica</t>
  </si>
  <si>
    <t>Na ilu pompa</t>
  </si>
  <si>
    <t>Pompa</t>
  </si>
  <si>
    <t>Falownik/EWC</t>
  </si>
  <si>
    <t>Hydrofor</t>
  </si>
  <si>
    <t>Faktura</t>
  </si>
  <si>
    <t>Oferta dla klienta</t>
  </si>
  <si>
    <t>Przychód</t>
  </si>
  <si>
    <t>Obudowa</t>
  </si>
  <si>
    <t>Osprzęt</t>
  </si>
  <si>
    <t>Wypłaty</t>
  </si>
  <si>
    <t>Dochód</t>
  </si>
  <si>
    <t>SUMA</t>
  </si>
  <si>
    <t>Numer</t>
  </si>
  <si>
    <t>Maj 2025</t>
  </si>
  <si>
    <t>Tryl</t>
  </si>
  <si>
    <t>Gardeja</t>
  </si>
  <si>
    <t>Krzywe Koło</t>
  </si>
  <si>
    <t>Czerniewo</t>
  </si>
  <si>
    <t>Otomin</t>
  </si>
  <si>
    <t>601419377 </t>
  </si>
  <si>
    <t>HYDRAULIKA PANELLI 95 PRX 6N/31 4kW + Silnik PM TECH 4OM2 WIRE 4 kW 400V </t>
  </si>
  <si>
    <t>COELBO SPEEDBOX 1314 TT</t>
  </si>
  <si>
    <t>GWS 80L</t>
  </si>
  <si>
    <t>LINK</t>
  </si>
  <si>
    <t>HYDRAULIKA PANELLI 95 PRX 2N/14 0,75kW + Silnik PM TECH 4OM2 WIRE 0,75 kW 230V </t>
  </si>
  <si>
    <t>COELBO SWITCHMATIC 2 T-KIT</t>
  </si>
  <si>
    <t>FALOWNIK Electroil IMMP 1,8kW</t>
  </si>
  <si>
    <t>GWS 12L</t>
  </si>
  <si>
    <t>SWITCHMATIC 2 T-KIT TROPIC</t>
  </si>
  <si>
    <t>HYDRAULIKA PANELLI 95 PRX 2N/21 1,1kW + Silnik PM TECH 4OM2 WIRE 1,1 kW 230V </t>
  </si>
  <si>
    <t>COELBO SPEEDBOX 1112 MM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</si>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</sst>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\ &quot;zł&quot;_-;\-* #,##0.00\ &quot;zł&quot;_-;_-* &quot;-&quot;??\ &quot;zł&quot;_-;_-@"/>
    <numFmt numFmtId="165" formatCode="#,##0.00\ &quot;zł&quot;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Arial"/>
    </font>
    <font>
      <u/>
      <sz val="11"/>
      <color theme="10"/>
      <name val="Calibri"/>
      <scheme val="minor"/>
    </font>
    <font>
      <sz val="11"/>
      <color rgb="FF3C4043"/>
      <name val="Arial"/>
      <family val="2"/>
      <charset val="238"/>
    </font>
    <font>
      <sz val="11"/>
      <color theme="1"/>
      <name val="Arial"/>
      <family val="2"/>
      <charset val="238"/>
    </font>
    <font>
      <b/>
      <sz val="16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u/>
      <sz val="11"/>
      <color theme="10"/>
      <name val="Arial"/>
      <family val="2"/>
      <charset val="238"/>
    </font>
    <font>
      <sz val="8"/>
      <name val="Calibri"/>
      <scheme val="minor"/>
    </font>
    <font>
      <b/>
      <sz val="11"/>
      <color theme="1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4" fillId="0" borderId="1" xfId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12" fillId="0" borderId="1" xfId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" fontId="7" fillId="0" borderId="2" xfId="0" quotePrefix="1" applyNumberFormat="1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11" fillId="0" borderId="10" xfId="0" applyFont="1" applyBorder="1"/>
    <xf numFmtId="0" fontId="8" fillId="0" borderId="11" xfId="0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"/>
        <family val="2"/>
        <charset val="238"/>
        <scheme val="none"/>
      </font>
      <alignment horizontal="center"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Sheet1-style" pivot="0" count="3" xr9:uid="{00000000-0011-0000-FFFF-FFFF00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666750</xdr:colOff>
      <xdr:row>8</xdr:row>
      <xdr:rowOff>0</xdr:rowOff>
    </xdr:from>
    <xdr:ext cx="184731" cy="264560"/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97D07170-D461-B971-329A-C9DDE381CF6E}"/>
            </a:ext>
          </a:extLst>
        </xdr:cNvPr>
        <xdr:cNvSpPr txBox="1"/>
      </xdr:nvSpPr>
      <xdr:spPr>
        <a:xfrm>
          <a:off x="13392150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l-PL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6:R27" headerRowDxfId="19" dataDxfId="18" totalsRowDxfId="17">
  <tableColumns count="17">
    <tableColumn id="1" xr3:uid="{00000000-0010-0000-0000-000001000000}" name="Numer" dataDxfId="16"/>
    <tableColumn id="17" xr3:uid="{FE9C27CF-7ABF-4EA0-B6FF-A3FEA0232215}" name="Data" dataDxfId="0"/>
    <tableColumn id="2" xr3:uid="{00000000-0010-0000-0000-000002000000}" name="Telefon" dataDxfId="15"/>
    <tableColumn id="3" xr3:uid="{00000000-0010-0000-0000-000003000000}" name="Miejscowość" dataDxfId="14"/>
    <tableColumn id="4" xr3:uid="{00000000-0010-0000-0000-000004000000}" name="Głębokość studni" dataDxfId="13"/>
    <tableColumn id="5" xr3:uid="{00000000-0010-0000-0000-000005000000}" name="Średnica" dataDxfId="12"/>
    <tableColumn id="6" xr3:uid="{00000000-0010-0000-0000-000006000000}" name="Na ilu pompa" dataDxfId="11"/>
    <tableColumn id="7" xr3:uid="{00000000-0010-0000-0000-000007000000}" name="Pompa" dataDxfId="10"/>
    <tableColumn id="8" xr3:uid="{00000000-0010-0000-0000-000008000000}" name="Falownik/EWC" dataDxfId="9"/>
    <tableColumn id="9" xr3:uid="{00000000-0010-0000-0000-000009000000}" name="Hydrofor" dataDxfId="8"/>
    <tableColumn id="10" xr3:uid="{00000000-0010-0000-0000-00000A000000}" name="Faktura" dataDxfId="7"/>
    <tableColumn id="11" xr3:uid="{00000000-0010-0000-0000-00000B000000}" name="Oferta dla klienta" dataDxfId="6"/>
    <tableColumn id="12" xr3:uid="{00000000-0010-0000-0000-00000C000000}" name="Przychód" dataDxfId="5"/>
    <tableColumn id="13" xr3:uid="{00000000-0010-0000-0000-00000D000000}" name="Obudowa" dataDxfId="4"/>
    <tableColumn id="14" xr3:uid="{00000000-0010-0000-0000-00000E000000}" name="Osprzęt" dataDxfId="3"/>
    <tableColumn id="15" xr3:uid="{00000000-0010-0000-0000-00000F000000}" name="Wypłaty" dataDxfId="2"/>
    <tableColumn id="16" xr3:uid="{00000000-0010-0000-0000-000010000000}" name="Dochód" dataDxfId="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JB2gmnz0x3kn2fpb5MCUBhnhOBUG9oYl/view?usp=drive_link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drive.google.com/file/d/1Y68RAezz11S8HC55XrW-Cyvd8Nz9KdeV/view?usp=drive_link" TargetMode="External"/><Relationship Id="rId7" Type="http://schemas.openxmlformats.org/officeDocument/2006/relationships/hyperlink" Target="https://drive.google.com/file/d/1TMRRzVByzkjaLcfLiCSAJe3b_CR_tn8R/view?usp=drive_link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drive.google.com/file/d/1156PofX1PwwZOsDQgGgJkthnuxn-Lpd7/view?usp=drive_link" TargetMode="External"/><Relationship Id="rId1" Type="http://schemas.openxmlformats.org/officeDocument/2006/relationships/hyperlink" Target="https://drive.google.com/file/d/1sQM42jIDjHoCstG-hfdrKTCJM3okLopu/view?usp=drive_link" TargetMode="External"/><Relationship Id="rId6" Type="http://schemas.openxmlformats.org/officeDocument/2006/relationships/hyperlink" Target="https://drive.google.com/file/d/14lwDbSH9uTpDgVZPT7CfNaS5J-JdhYZO/view?usp=drive_link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file/d/1b94X_K-JrAlT02wPRZw9qU3wG8i6S1C-/view?usp=drive_link" TargetMode="External"/><Relationship Id="rId10" Type="http://schemas.openxmlformats.org/officeDocument/2006/relationships/hyperlink" Target="https://drive.google.com/file/d/1uGxNhKwXMMTPSFOQBRlDxL_hnte0h06R/view?usp=drive_link" TargetMode="External"/><Relationship Id="rId4" Type="http://schemas.openxmlformats.org/officeDocument/2006/relationships/hyperlink" Target="https://drive.google.com/file/d/1L3Jf2I_rinVTSjt58CNWkVr0fVPrhYSM/view?usp=drive_link" TargetMode="External"/><Relationship Id="rId9" Type="http://schemas.openxmlformats.org/officeDocument/2006/relationships/hyperlink" Target="https://drive.google.com/file/d/11HU-QIYgKcMhpeOKRmbjOM-n265HIaD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1000"/>
  <sheetViews>
    <sheetView tabSelected="1" workbookViewId="0">
      <selection activeCell="C12" sqref="C12"/>
    </sheetView>
  </sheetViews>
  <sheetFormatPr defaultColWidth="14.42578125" defaultRowHeight="15" customHeight="1" x14ac:dyDescent="0.25"/>
  <cols>
    <col min="1" max="1" width="3.5703125" customWidth="1"/>
    <col min="2" max="2" width="12" customWidth="1"/>
    <col min="3" max="3" width="11.28515625" customWidth="1"/>
    <col min="4" max="4" width="25.5703125" bestFit="1" customWidth="1"/>
    <col min="5" max="5" width="21.42578125" customWidth="1"/>
    <col min="6" max="6" width="12.42578125" customWidth="1"/>
    <col min="7" max="7" width="22.85546875" customWidth="1"/>
    <col min="8" max="8" width="20" customWidth="1"/>
    <col min="9" max="9" width="42.85546875" customWidth="1"/>
    <col min="10" max="10" width="17" customWidth="1"/>
    <col min="11" max="11" width="10.85546875" customWidth="1"/>
    <col min="12" max="12" width="20.85546875" customWidth="1"/>
    <col min="13" max="13" width="15" bestFit="1" customWidth="1"/>
    <col min="14" max="14" width="13" customWidth="1"/>
    <col min="15" max="16" width="13.85546875" customWidth="1"/>
    <col min="17" max="17" width="16.7109375" customWidth="1"/>
    <col min="18" max="26" width="8.7109375" customWidth="1"/>
  </cols>
  <sheetData>
    <row r="3" spans="2:26" x14ac:dyDescent="0.25"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6" ht="15.75" thickBot="1" x14ac:dyDescent="0.3"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6" ht="20.25" x14ac:dyDescent="0.25">
      <c r="B5" s="21" t="s">
        <v>17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3"/>
      <c r="R5" s="1"/>
      <c r="S5" s="1"/>
      <c r="T5" s="1"/>
      <c r="U5" s="1"/>
      <c r="V5" s="1"/>
      <c r="W5" s="1"/>
    </row>
    <row r="6" spans="2:26" x14ac:dyDescent="0.25">
      <c r="B6" s="18" t="s">
        <v>16</v>
      </c>
      <c r="C6" s="24" t="s">
        <v>35</v>
      </c>
      <c r="D6" s="17" t="s">
        <v>0</v>
      </c>
      <c r="E6" s="2" t="s">
        <v>1</v>
      </c>
      <c r="F6" s="2" t="s">
        <v>2</v>
      </c>
      <c r="G6" s="2" t="s">
        <v>3</v>
      </c>
      <c r="H6" s="2" t="s">
        <v>4</v>
      </c>
      <c r="I6" s="2" t="s">
        <v>5</v>
      </c>
      <c r="J6" s="2" t="s">
        <v>6</v>
      </c>
      <c r="K6" s="2" t="s">
        <v>7</v>
      </c>
      <c r="L6" s="2" t="s">
        <v>8</v>
      </c>
      <c r="M6" s="2" t="s">
        <v>9</v>
      </c>
      <c r="N6" s="3" t="s">
        <v>10</v>
      </c>
      <c r="O6" s="3" t="s">
        <v>11</v>
      </c>
      <c r="P6" s="2" t="s">
        <v>12</v>
      </c>
      <c r="Q6" s="2" t="s">
        <v>13</v>
      </c>
      <c r="R6" s="8" t="s">
        <v>14</v>
      </c>
      <c r="X6" s="1"/>
      <c r="Y6" s="1"/>
      <c r="Z6" s="1"/>
    </row>
    <row r="7" spans="2:26" ht="28.5" x14ac:dyDescent="0.25">
      <c r="B7" s="9">
        <v>1</v>
      </c>
      <c r="C7" s="26">
        <v>45784</v>
      </c>
      <c r="D7" s="5" t="s">
        <v>23</v>
      </c>
      <c r="E7" s="6" t="s">
        <v>18</v>
      </c>
      <c r="F7" s="6">
        <v>51</v>
      </c>
      <c r="G7" s="6">
        <v>160</v>
      </c>
      <c r="H7" s="6">
        <v>40</v>
      </c>
      <c r="I7" s="7" t="s">
        <v>24</v>
      </c>
      <c r="J7" s="6" t="s">
        <v>25</v>
      </c>
      <c r="K7" s="7" t="s">
        <v>26</v>
      </c>
      <c r="L7" s="4" t="s">
        <v>27</v>
      </c>
      <c r="M7" s="19" t="s">
        <v>27</v>
      </c>
      <c r="N7" s="16">
        <v>15700</v>
      </c>
      <c r="O7" s="16">
        <v>1300</v>
      </c>
      <c r="P7" s="16">
        <v>7800</v>
      </c>
      <c r="Q7" s="16">
        <v>1500</v>
      </c>
      <c r="R7" s="12">
        <f>N7-(O7+P7+Q7+1500)</f>
        <v>3600</v>
      </c>
      <c r="X7" s="1"/>
      <c r="Y7" s="1"/>
      <c r="Z7" s="1"/>
    </row>
    <row r="8" spans="2:26" ht="42.75" x14ac:dyDescent="0.25">
      <c r="B8" s="9">
        <v>2</v>
      </c>
      <c r="C8" s="26">
        <v>45790</v>
      </c>
      <c r="D8" s="6">
        <v>663054322</v>
      </c>
      <c r="E8" s="7" t="s">
        <v>19</v>
      </c>
      <c r="F8" s="7">
        <v>26</v>
      </c>
      <c r="G8" s="7">
        <v>125</v>
      </c>
      <c r="H8" s="7">
        <v>20</v>
      </c>
      <c r="I8" s="7" t="s">
        <v>28</v>
      </c>
      <c r="J8" s="7" t="s">
        <v>29</v>
      </c>
      <c r="K8" s="6" t="s">
        <v>26</v>
      </c>
      <c r="L8" s="4" t="s">
        <v>27</v>
      </c>
      <c r="M8" s="4" t="s">
        <v>27</v>
      </c>
      <c r="N8" s="11">
        <v>15320</v>
      </c>
      <c r="O8" s="11">
        <v>1300</v>
      </c>
      <c r="P8" s="11">
        <v>3400</v>
      </c>
      <c r="Q8" s="11">
        <v>1500</v>
      </c>
      <c r="R8" s="12">
        <f>N8-(O8+P8+Q8+1500)</f>
        <v>7620</v>
      </c>
      <c r="X8" s="1"/>
      <c r="Y8" s="1"/>
      <c r="Z8" s="1"/>
    </row>
    <row r="9" spans="2:26" ht="42.75" x14ac:dyDescent="0.25">
      <c r="B9" s="9">
        <v>3</v>
      </c>
      <c r="C9" s="26">
        <v>45796</v>
      </c>
      <c r="D9" s="5">
        <v>799237772</v>
      </c>
      <c r="E9" s="6" t="s">
        <v>20</v>
      </c>
      <c r="F9" s="6">
        <v>22</v>
      </c>
      <c r="G9" s="6">
        <v>125</v>
      </c>
      <c r="H9" s="6">
        <v>5</v>
      </c>
      <c r="I9" s="7" t="s">
        <v>28</v>
      </c>
      <c r="J9" s="6" t="s">
        <v>30</v>
      </c>
      <c r="K9" s="7" t="s">
        <v>31</v>
      </c>
      <c r="L9" s="4" t="s">
        <v>27</v>
      </c>
      <c r="M9" s="4" t="s">
        <v>27</v>
      </c>
      <c r="N9" s="11">
        <f>2000+450+1225+1700+2500+500+1500+220+3200</f>
        <v>13295</v>
      </c>
      <c r="O9" s="11">
        <v>1300</v>
      </c>
      <c r="P9" s="11">
        <v>4000</v>
      </c>
      <c r="Q9" s="11">
        <v>1500</v>
      </c>
      <c r="R9" s="12">
        <f>N9-(O9+P9+Q9+1500)</f>
        <v>4995</v>
      </c>
      <c r="X9" s="1"/>
      <c r="Y9" s="1"/>
      <c r="Z9" s="1"/>
    </row>
    <row r="10" spans="2:26" ht="42.75" x14ac:dyDescent="0.25">
      <c r="B10" s="9">
        <v>4</v>
      </c>
      <c r="C10" s="26">
        <v>45803</v>
      </c>
      <c r="D10" s="5">
        <v>600804263</v>
      </c>
      <c r="E10" s="6" t="s">
        <v>21</v>
      </c>
      <c r="F10" s="6">
        <v>17</v>
      </c>
      <c r="G10" s="6">
        <v>125</v>
      </c>
      <c r="H10" s="6">
        <v>10</v>
      </c>
      <c r="I10" s="7" t="s">
        <v>28</v>
      </c>
      <c r="J10" s="6" t="s">
        <v>32</v>
      </c>
      <c r="K10" s="6" t="s">
        <v>26</v>
      </c>
      <c r="L10" s="4" t="s">
        <v>27</v>
      </c>
      <c r="M10" s="4" t="s">
        <v>27</v>
      </c>
      <c r="N10" s="11">
        <f>2500+420+350+400+2500+500+1200+1250+3200</f>
        <v>12320</v>
      </c>
      <c r="O10" s="11">
        <v>1300</v>
      </c>
      <c r="P10" s="11">
        <v>3700</v>
      </c>
      <c r="Q10" s="11">
        <v>1500</v>
      </c>
      <c r="R10" s="12">
        <f>N10-(O10+P10+Q10+1500)</f>
        <v>4320</v>
      </c>
      <c r="X10" s="1"/>
      <c r="Y10" s="1"/>
      <c r="Z10" s="1"/>
    </row>
    <row r="11" spans="2:26" ht="42.75" x14ac:dyDescent="0.25">
      <c r="B11" s="20">
        <v>5</v>
      </c>
      <c r="C11" s="26">
        <v>45804</v>
      </c>
      <c r="D11" s="5">
        <v>668208367</v>
      </c>
      <c r="E11" s="6" t="s">
        <v>22</v>
      </c>
      <c r="F11" s="6">
        <v>45</v>
      </c>
      <c r="G11" s="6">
        <v>125</v>
      </c>
      <c r="H11" s="6">
        <v>30</v>
      </c>
      <c r="I11" s="7" t="s">
        <v>33</v>
      </c>
      <c r="J11" s="6" t="s">
        <v>34</v>
      </c>
      <c r="K11" s="6" t="s">
        <v>31</v>
      </c>
      <c r="L11" s="4" t="s">
        <v>27</v>
      </c>
      <c r="M11" s="4" t="s">
        <v>27</v>
      </c>
      <c r="N11" s="11">
        <f>2300+450+1050+2000+2500+500+1500+300+3200</f>
        <v>13800</v>
      </c>
      <c r="O11" s="11">
        <v>1300</v>
      </c>
      <c r="P11" s="11">
        <v>4700</v>
      </c>
      <c r="Q11" s="11">
        <v>1500</v>
      </c>
      <c r="R11" s="12">
        <f>N11-(O11+P11+Q11+1500)</f>
        <v>4800</v>
      </c>
      <c r="X11" s="1"/>
      <c r="Y11" s="1"/>
      <c r="Z11" s="1"/>
    </row>
    <row r="12" spans="2:26" x14ac:dyDescent="0.25">
      <c r="B12" s="20"/>
      <c r="C12" s="20"/>
      <c r="D12" s="6"/>
      <c r="E12" s="6"/>
      <c r="F12" s="6"/>
      <c r="G12" s="6"/>
      <c r="H12" s="6"/>
      <c r="I12" s="7"/>
      <c r="J12" s="5"/>
      <c r="K12" s="6"/>
      <c r="L12" s="10"/>
      <c r="M12" s="10"/>
      <c r="N12" s="11"/>
      <c r="O12" s="11"/>
      <c r="P12" s="11"/>
      <c r="Q12" s="11"/>
      <c r="R12" s="12"/>
      <c r="X12" s="1"/>
      <c r="Y12" s="1"/>
      <c r="Z12" s="1"/>
    </row>
    <row r="13" spans="2:26" x14ac:dyDescent="0.25">
      <c r="B13" s="9"/>
      <c r="C13" s="20"/>
      <c r="D13" s="6"/>
      <c r="E13" s="6"/>
      <c r="F13" s="6"/>
      <c r="G13" s="6"/>
      <c r="H13" s="6"/>
      <c r="I13" s="6"/>
      <c r="J13" s="6"/>
      <c r="K13" s="6"/>
      <c r="L13" s="6"/>
      <c r="M13" s="6"/>
      <c r="N13" s="11"/>
      <c r="O13" s="11"/>
      <c r="P13" s="11"/>
      <c r="Q13" s="11"/>
      <c r="R13" s="12"/>
      <c r="X13" s="1"/>
      <c r="Y13" s="1"/>
      <c r="Z13" s="1"/>
    </row>
    <row r="14" spans="2:26" x14ac:dyDescent="0.25">
      <c r="B14" s="9"/>
      <c r="C14" s="20"/>
      <c r="D14" s="6"/>
      <c r="E14" s="6"/>
      <c r="F14" s="6"/>
      <c r="G14" s="6"/>
      <c r="H14" s="6"/>
      <c r="I14" s="6"/>
      <c r="J14" s="6"/>
      <c r="K14" s="6"/>
      <c r="L14" s="6"/>
      <c r="M14" s="6"/>
      <c r="N14" s="11"/>
      <c r="O14" s="11"/>
      <c r="P14" s="11"/>
      <c r="Q14" s="11"/>
      <c r="R14" s="12"/>
      <c r="X14" s="1"/>
      <c r="Y14" s="1"/>
      <c r="Z14" s="1"/>
    </row>
    <row r="15" spans="2:26" ht="13.5" customHeight="1" x14ac:dyDescent="0.25">
      <c r="B15" s="9"/>
      <c r="C15" s="20"/>
      <c r="D15" s="6"/>
      <c r="E15" s="6"/>
      <c r="F15" s="6"/>
      <c r="G15" s="6"/>
      <c r="H15" s="6"/>
      <c r="I15" s="6"/>
      <c r="J15" s="6"/>
      <c r="K15" s="6"/>
      <c r="L15" s="6"/>
      <c r="M15" s="6"/>
      <c r="N15" s="11"/>
      <c r="O15" s="11"/>
      <c r="P15" s="11"/>
      <c r="Q15" s="11"/>
      <c r="R15" s="12"/>
      <c r="X15" s="1"/>
      <c r="Y15" s="1"/>
      <c r="Z15" s="1"/>
    </row>
    <row r="16" spans="2:26" x14ac:dyDescent="0.25">
      <c r="B16" s="9"/>
      <c r="C16" s="20"/>
      <c r="D16" s="6"/>
      <c r="E16" s="6"/>
      <c r="F16" s="6"/>
      <c r="G16" s="6"/>
      <c r="H16" s="6"/>
      <c r="I16" s="6"/>
      <c r="J16" s="6"/>
      <c r="K16" s="6"/>
      <c r="L16" s="6"/>
      <c r="M16" s="6"/>
      <c r="N16" s="11"/>
      <c r="O16" s="11"/>
      <c r="P16" s="11"/>
      <c r="Q16" s="11"/>
      <c r="R16" s="12"/>
      <c r="X16" s="1"/>
      <c r="Y16" s="1"/>
      <c r="Z16" s="1"/>
    </row>
    <row r="17" spans="2:26" x14ac:dyDescent="0.25">
      <c r="B17" s="9"/>
      <c r="C17" s="20"/>
      <c r="D17" s="6"/>
      <c r="E17" s="6"/>
      <c r="F17" s="6"/>
      <c r="G17" s="6"/>
      <c r="H17" s="6"/>
      <c r="I17" s="6"/>
      <c r="J17" s="6"/>
      <c r="K17" s="6"/>
      <c r="L17" s="6"/>
      <c r="M17" s="6"/>
      <c r="N17" s="11"/>
      <c r="O17" s="11"/>
      <c r="P17" s="11"/>
      <c r="Q17" s="11"/>
      <c r="R17" s="12"/>
      <c r="X17" s="1"/>
      <c r="Y17" s="1"/>
      <c r="Z17" s="1"/>
    </row>
    <row r="18" spans="2:26" x14ac:dyDescent="0.25">
      <c r="B18" s="9"/>
      <c r="C18" s="20"/>
      <c r="D18" s="6"/>
      <c r="E18" s="6"/>
      <c r="F18" s="6"/>
      <c r="G18" s="6"/>
      <c r="H18" s="6"/>
      <c r="I18" s="6"/>
      <c r="J18" s="6"/>
      <c r="K18" s="6"/>
      <c r="L18" s="6"/>
      <c r="M18" s="6"/>
      <c r="N18" s="11"/>
      <c r="O18" s="11"/>
      <c r="P18" s="11"/>
      <c r="Q18" s="11"/>
      <c r="R18" s="12"/>
      <c r="X18" s="1"/>
      <c r="Y18" s="1"/>
      <c r="Z18" s="1"/>
    </row>
    <row r="19" spans="2:26" x14ac:dyDescent="0.25">
      <c r="B19" s="9"/>
      <c r="C19" s="20"/>
      <c r="D19" s="6"/>
      <c r="E19" s="6"/>
      <c r="F19" s="6"/>
      <c r="G19" s="6"/>
      <c r="H19" s="6"/>
      <c r="I19" s="6"/>
      <c r="J19" s="6"/>
      <c r="K19" s="6"/>
      <c r="L19" s="6"/>
      <c r="M19" s="6"/>
      <c r="N19" s="11"/>
      <c r="O19" s="11"/>
      <c r="P19" s="11"/>
      <c r="Q19" s="11"/>
      <c r="R19" s="12"/>
      <c r="X19" s="1"/>
      <c r="Y19" s="1"/>
      <c r="Z19" s="1"/>
    </row>
    <row r="20" spans="2:26" x14ac:dyDescent="0.25">
      <c r="B20" s="9"/>
      <c r="C20" s="20"/>
      <c r="D20" s="6"/>
      <c r="E20" s="6"/>
      <c r="F20" s="6"/>
      <c r="G20" s="6"/>
      <c r="H20" s="6"/>
      <c r="I20" s="6"/>
      <c r="J20" s="6"/>
      <c r="K20" s="6"/>
      <c r="L20" s="6"/>
      <c r="M20" s="6"/>
      <c r="N20" s="11"/>
      <c r="O20" s="11"/>
      <c r="P20" s="11"/>
      <c r="Q20" s="11"/>
      <c r="R20" s="12"/>
      <c r="X20" s="1"/>
      <c r="Y20" s="1"/>
      <c r="Z20" s="1"/>
    </row>
    <row r="21" spans="2:26" ht="15.75" customHeight="1" x14ac:dyDescent="0.25">
      <c r="B21" s="9"/>
      <c r="C21" s="20"/>
      <c r="D21" s="6"/>
      <c r="E21" s="6"/>
      <c r="F21" s="6"/>
      <c r="G21" s="6"/>
      <c r="H21" s="6"/>
      <c r="I21" s="6"/>
      <c r="J21" s="6"/>
      <c r="K21" s="6"/>
      <c r="L21" s="6"/>
      <c r="M21" s="6"/>
      <c r="N21" s="11"/>
      <c r="O21" s="11"/>
      <c r="P21" s="11"/>
      <c r="Q21" s="11"/>
      <c r="R21" s="12"/>
      <c r="X21" s="1"/>
      <c r="Y21" s="1"/>
      <c r="Z21" s="1"/>
    </row>
    <row r="22" spans="2:26" ht="15.75" customHeight="1" x14ac:dyDescent="0.25">
      <c r="B22" s="9"/>
      <c r="C22" s="20"/>
      <c r="D22" s="6"/>
      <c r="E22" s="6"/>
      <c r="F22" s="6"/>
      <c r="G22" s="6"/>
      <c r="H22" s="6"/>
      <c r="I22" s="6"/>
      <c r="J22" s="6"/>
      <c r="K22" s="6"/>
      <c r="L22" s="6"/>
      <c r="M22" s="6"/>
      <c r="N22" s="11"/>
      <c r="O22" s="11"/>
      <c r="P22" s="11"/>
      <c r="Q22" s="11"/>
      <c r="R22" s="12"/>
      <c r="X22" s="1"/>
      <c r="Y22" s="1"/>
      <c r="Z22" s="1"/>
    </row>
    <row r="23" spans="2:26" ht="15.75" customHeight="1" x14ac:dyDescent="0.25">
      <c r="B23" s="9"/>
      <c r="C23" s="20"/>
      <c r="D23" s="6"/>
      <c r="E23" s="6"/>
      <c r="F23" s="6"/>
      <c r="G23" s="6"/>
      <c r="H23" s="6"/>
      <c r="I23" s="6"/>
      <c r="J23" s="6"/>
      <c r="K23" s="6"/>
      <c r="L23" s="6"/>
      <c r="M23" s="6"/>
      <c r="N23" s="11"/>
      <c r="O23" s="11"/>
      <c r="P23" s="11"/>
      <c r="Q23" s="11"/>
      <c r="R23" s="12"/>
      <c r="X23" s="1"/>
      <c r="Y23" s="1"/>
      <c r="Z23" s="1"/>
    </row>
    <row r="24" spans="2:26" ht="15.75" customHeight="1" x14ac:dyDescent="0.25">
      <c r="B24" s="9"/>
      <c r="C24" s="20"/>
      <c r="D24" s="6"/>
      <c r="E24" s="6"/>
      <c r="F24" s="6"/>
      <c r="G24" s="6"/>
      <c r="H24" s="6"/>
      <c r="I24" s="6"/>
      <c r="J24" s="6"/>
      <c r="K24" s="6"/>
      <c r="L24" s="6"/>
      <c r="M24" s="6"/>
      <c r="N24" s="11"/>
      <c r="O24" s="11"/>
      <c r="P24" s="11"/>
      <c r="Q24" s="11"/>
      <c r="R24" s="12"/>
      <c r="X24" s="1"/>
      <c r="Y24" s="1"/>
      <c r="Z24" s="1"/>
    </row>
    <row r="25" spans="2:26" ht="15.75" customHeight="1" x14ac:dyDescent="0.25">
      <c r="B25" s="9"/>
      <c r="C25" s="20"/>
      <c r="D25" s="6"/>
      <c r="E25" s="6"/>
      <c r="F25" s="6"/>
      <c r="G25" s="6"/>
      <c r="H25" s="6"/>
      <c r="I25" s="6"/>
      <c r="J25" s="6"/>
      <c r="K25" s="6"/>
      <c r="L25" s="6"/>
      <c r="M25" s="6"/>
      <c r="N25" s="11"/>
      <c r="O25" s="11"/>
      <c r="P25" s="11"/>
      <c r="Q25" s="11"/>
      <c r="R25" s="12"/>
      <c r="X25" s="1"/>
      <c r="Y25" s="1"/>
      <c r="Z25" s="1"/>
    </row>
    <row r="26" spans="2:26" ht="15.75" customHeight="1" x14ac:dyDescent="0.25">
      <c r="B26" s="9"/>
      <c r="C26" s="20"/>
      <c r="D26" s="6"/>
      <c r="E26" s="6"/>
      <c r="F26" s="6"/>
      <c r="G26" s="6"/>
      <c r="H26" s="6"/>
      <c r="I26" s="6"/>
      <c r="J26" s="6"/>
      <c r="K26" s="6"/>
      <c r="L26" s="6"/>
      <c r="M26" s="6"/>
      <c r="N26" s="11"/>
      <c r="O26" s="11"/>
      <c r="P26" s="11"/>
      <c r="Q26" s="11"/>
      <c r="R26" s="12"/>
      <c r="X26" s="1"/>
      <c r="Y26" s="1"/>
      <c r="Z26" s="1"/>
    </row>
    <row r="27" spans="2:26" ht="15.75" customHeight="1" thickBot="1" x14ac:dyDescent="0.3">
      <c r="B27" s="13" t="s">
        <v>15</v>
      </c>
      <c r="C27" s="2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>
        <f>SUM(N7:N26)</f>
        <v>70435</v>
      </c>
      <c r="O27" s="15">
        <f t="shared" ref="O27:Q27" si="0">SUM(O7:O26)</f>
        <v>6500</v>
      </c>
      <c r="P27" s="15">
        <f t="shared" si="0"/>
        <v>23600</v>
      </c>
      <c r="Q27" s="15">
        <f t="shared" si="0"/>
        <v>7500</v>
      </c>
      <c r="R27" s="15">
        <f>SUM(R7:R26)</f>
        <v>25335</v>
      </c>
      <c r="X27" s="1"/>
      <c r="Y27" s="1"/>
      <c r="Z27" s="1"/>
    </row>
    <row r="28" spans="2:26" ht="15.75" customHeight="1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6" ht="15.75" customHeight="1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6" ht="15.75" customHeight="1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6" ht="15.75" customHeight="1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6" ht="15.75" customHeight="1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3:23" ht="15.75" customHeight="1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3:23" ht="15.75" customHeight="1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3:23" ht="15.75" customHeight="1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3:23" ht="15.75" customHeight="1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3:23" ht="15.75" customHeight="1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3:23" ht="15.75" customHeight="1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3:23" ht="15.75" customHeight="1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3:23" ht="15.75" customHeight="1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3:23" ht="15.75" customHeight="1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3:23" ht="15.75" customHeight="1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3:23" ht="15.75" customHeight="1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3:23" ht="15.75" customHeight="1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3:23" ht="15.75" customHeight="1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3:23" ht="15.75" customHeight="1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3:23" ht="15.75" customHeight="1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3:23" ht="15.75" customHeight="1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3:23" ht="15.75" customHeight="1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3:23" ht="15.75" customHeight="1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3:23" ht="15.75" customHeight="1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3:23" ht="15.75" customHeight="1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3:23" ht="15.75" customHeight="1" x14ac:dyDescent="0.25"/>
    <row r="54" spans="3:23" ht="15.75" customHeight="1" x14ac:dyDescent="0.25"/>
    <row r="55" spans="3:23" ht="15.75" customHeight="1" x14ac:dyDescent="0.25"/>
    <row r="56" spans="3:23" ht="15.75" customHeight="1" x14ac:dyDescent="0.25"/>
    <row r="57" spans="3:23" ht="15.75" customHeight="1" x14ac:dyDescent="0.25"/>
    <row r="58" spans="3:23" ht="15.75" customHeight="1" x14ac:dyDescent="0.25"/>
    <row r="59" spans="3:23" ht="15.75" customHeight="1" x14ac:dyDescent="0.25"/>
    <row r="60" spans="3:23" ht="15.75" customHeight="1" x14ac:dyDescent="0.25"/>
    <row r="61" spans="3:23" ht="15.75" customHeight="1" x14ac:dyDescent="0.25"/>
    <row r="62" spans="3:23" ht="15.75" customHeight="1" x14ac:dyDescent="0.25"/>
    <row r="63" spans="3:23" ht="15.75" customHeight="1" x14ac:dyDescent="0.25"/>
    <row r="64" spans="3:2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5:Q5"/>
  </mergeCells>
  <phoneticPr fontId="10" type="noConversion"/>
  <hyperlinks>
    <hyperlink ref="M7" r:id="rId1" xr:uid="{96CECAFC-765D-4A65-8819-843DA43A9F08}"/>
    <hyperlink ref="L7" r:id="rId2" xr:uid="{E11EBD70-9CD7-4D89-8BC4-28C6BBDCB115}"/>
    <hyperlink ref="L8" r:id="rId3" xr:uid="{A9754F9C-C2FC-4B41-ADAE-B0F26424AC2A}"/>
    <hyperlink ref="M8" r:id="rId4" xr:uid="{B9EDA57F-8319-46F2-BBED-2A763FD29680}"/>
    <hyperlink ref="L9" r:id="rId5" xr:uid="{8A1EF296-414D-422D-9ACA-6C45917F0BB2}"/>
    <hyperlink ref="M9" r:id="rId6" xr:uid="{7D1096B7-7C9F-4B2F-992B-8CB971AC996E}"/>
    <hyperlink ref="L10" r:id="rId7" xr:uid="{EB3EDEB8-11A0-41D4-A7BA-F7F082582FA1}"/>
    <hyperlink ref="M10" r:id="rId8" xr:uid="{C4E98505-CFF4-4D94-9B61-BF70C2AC5565}"/>
    <hyperlink ref="L11" r:id="rId9" xr:uid="{F66C202D-710F-4ED7-8366-8437AF88BA05}"/>
    <hyperlink ref="M11" r:id="rId10" xr:uid="{0D96504F-BD5C-4E06-AF51-5599363D0D12}"/>
  </hyperlinks>
  <pageMargins left="0.7" right="0.7" top="0.75" bottom="0.75" header="0" footer="0"/>
  <pageSetup paperSize="9" orientation="portrait" r:id="rId11"/>
  <drawing r:id="rId1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</dc:creator>
  <cp:lastModifiedBy>Dawid Nikolajski</cp:lastModifiedBy>
  <dcterms:created xsi:type="dcterms:W3CDTF">2015-06-05T18:17:20Z</dcterms:created>
  <dcterms:modified xsi:type="dcterms:W3CDTF">2025-10-29T13:31:03Z</dcterms:modified>
</cp:coreProperties>
</file>